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lo.carvalho\Downloads\"/>
    </mc:Choice>
  </mc:AlternateContent>
  <xr:revisionPtr revIDLastSave="0" documentId="13_ncr:1_{C1AE4DCA-BEF7-439A-AF4F-697522541B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definedNames>
    <definedName name="_xlnm._FilterDatabase" localSheetId="0" hidden="1">Summary!$A$1:$P$1</definedName>
  </definedNames>
  <calcPr calcId="19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<sst xmlns="http://schemas.openxmlformats.org/spreadsheetml/2006/main" count="46" uniqueCount="46">
  <si>
    <t>Team</t>
  </si>
  <si>
    <t>GP</t>
  </si>
  <si>
    <t>W</t>
  </si>
  <si>
    <t>L</t>
  </si>
  <si>
    <t>T</t>
  </si>
  <si>
    <t>GF</t>
  </si>
  <si>
    <t>GA</t>
  </si>
  <si>
    <t>Ottawa Senators</t>
  </si>
  <si>
    <t>Dallas Stars</t>
  </si>
  <si>
    <t>Detroit Red Wings</t>
  </si>
  <si>
    <t>New Jersey Devils</t>
  </si>
  <si>
    <t>Philadelphia Flyers</t>
  </si>
  <si>
    <t>Colorado Avalanche</t>
  </si>
  <si>
    <t>Vancouver Canucks</t>
  </si>
  <si>
    <t>St. Louis Blues</t>
  </si>
  <si>
    <t>Toronto Maple Leafs</t>
  </si>
  <si>
    <t>Minnesota Wild</t>
  </si>
  <si>
    <t>Anaheim Ducks</t>
  </si>
  <si>
    <t>Tampa Bay Lightning</t>
  </si>
  <si>
    <t>Washington Capitals</t>
  </si>
  <si>
    <t>Edmonton Oilers</t>
  </si>
  <si>
    <t>Boston Bruins</t>
  </si>
  <si>
    <t>New York Islanders</t>
  </si>
  <si>
    <t>Chicago Blackhawks</t>
  </si>
  <si>
    <t>Los Angeles Kings</t>
  </si>
  <si>
    <t>New York Rangers</t>
  </si>
  <si>
    <t>Phoenix Coyotes</t>
  </si>
  <si>
    <t>Montréal Canadiens</t>
  </si>
  <si>
    <t>Calgary Flames</t>
  </si>
  <si>
    <t>Atlanta Thrashers</t>
  </si>
  <si>
    <t>Nashville Predators</t>
  </si>
  <si>
    <t>San Jose Sharks</t>
  </si>
  <si>
    <t>Buffalo Sabres</t>
  </si>
  <si>
    <t>Florida Panthers</t>
  </si>
  <si>
    <t>Columbus Blue Jackets</t>
  </si>
  <si>
    <t>Pittsburgh Penguins</t>
  </si>
  <si>
    <t>Carolina Hurricanes</t>
  </si>
  <si>
    <t>PP GF</t>
  </si>
  <si>
    <t>SH GF</t>
  </si>
  <si>
    <t>EV GF</t>
  </si>
  <si>
    <t>EV GA</t>
  </si>
  <si>
    <t>PP GA</t>
  </si>
  <si>
    <t>SH GA</t>
  </si>
  <si>
    <t>ENG</t>
  </si>
  <si>
    <t>SOG</t>
  </si>
  <si>
    <t>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</si>
</sst>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0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selection activeCell="Q2" sqref="Q2"/>
    </sheetView>
  </sheetViews>
  <sheetFormatPr defaultRowHeight="15.75" x14ac:dyDescent="0.25"/>
  <cols>
    <col min="1" max="1" width="19.625" bestFit="1" customWidth="1"/>
    <col min="2" max="2" width="5.125" bestFit="1" customWidth="1"/>
    <col min="3" max="3" width="4.625" bestFit="1" customWidth="1"/>
    <col min="4" max="4" width="3.75" bestFit="1" customWidth="1"/>
    <col min="5" max="5" width="3.875" bestFit="1" customWidth="1"/>
    <col min="6" max="6" width="5" bestFit="1" customWidth="1"/>
    <col min="7" max="7" width="5.25" bestFit="1" customWidth="1"/>
    <col min="8" max="8" width="7.625" bestFit="1" customWidth="1"/>
    <col min="9" max="9" width="7.5" bestFit="1" customWidth="1"/>
    <col min="10" max="10" width="7.625" bestFit="1" customWidth="1"/>
    <col min="11" max="11" width="7.875" bestFit="1" customWidth="1"/>
    <col min="12" max="12" width="7.75" bestFit="1" customWidth="1"/>
    <col min="13" max="13" width="7.875" bestFit="1" customWidth="1"/>
    <col min="16" max="16" width="9.375" bestFit="1" customWidth="1"/>
    <col min="19" max="19" width="9.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37</v>
      </c>
      <c r="J1" t="s">
        <v>38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</row>
    <row r="2" spans="1:20" x14ac:dyDescent="0.25">
      <c r="A2" t="s">
        <v>17</v>
      </c>
      <c r="B2">
        <v>82</v>
      </c>
      <c r="C2">
        <v>40</v>
      </c>
      <c r="D2">
        <v>27</v>
      </c>
      <c r="E2">
        <v>9</v>
      </c>
      <c r="F2">
        <v>203</v>
      </c>
      <c r="G2">
        <v>193</v>
      </c>
      <c r="H2">
        <f>F2-I2-J2</f>
        <v>139</v>
      </c>
      <c r="I2">
        <v>56</v>
      </c>
      <c r="J2">
        <v>8</v>
      </c>
      <c r="K2">
        <f>G2-L2-M2</f>
        <v>146</v>
      </c>
      <c r="L2">
        <v>42</v>
      </c>
      <c r="M2">
        <v>5</v>
      </c>
      <c r="N2">
        <v>5</v>
      </c>
      <c r="O2">
        <v>2378</v>
      </c>
      <c r="P2" s="1">
        <f>(O2-G2)/O2</f>
        <v>0.91883936080740114</v>
      </c>
      <c r="S2" s="2"/>
      <c r="T2" s="2"/>
    </row>
    <row r="3" spans="1:20" x14ac:dyDescent="0.25">
      <c r="A3" t="s">
        <v>29</v>
      </c>
      <c r="B3">
        <v>82</v>
      </c>
      <c r="C3">
        <v>31</v>
      </c>
      <c r="D3">
        <v>39</v>
      </c>
      <c r="E3">
        <v>7</v>
      </c>
      <c r="F3">
        <v>226</v>
      </c>
      <c r="G3">
        <v>284</v>
      </c>
      <c r="H3">
        <f t="shared" ref="H3:H31" si="0">F3-I3-J3</f>
        <v>154</v>
      </c>
      <c r="I3">
        <v>64</v>
      </c>
      <c r="J3">
        <v>8</v>
      </c>
      <c r="K3">
        <f t="shared" ref="K3:K31" si="1">G3-L3-M3</f>
        <v>205</v>
      </c>
      <c r="L3">
        <v>65</v>
      </c>
      <c r="M3">
        <v>14</v>
      </c>
      <c r="N3">
        <v>5</v>
      </c>
      <c r="O3">
        <v>2591.2000000000003</v>
      </c>
      <c r="P3" s="1">
        <f t="shared" ref="P3:P31" si="2">(O3-G3)/O3</f>
        <v>0.8903982710713183</v>
      </c>
    </row>
    <row r="4" spans="1:20" x14ac:dyDescent="0.25">
      <c r="A4" t="s">
        <v>21</v>
      </c>
      <c r="B4">
        <v>82</v>
      </c>
      <c r="C4">
        <v>36</v>
      </c>
      <c r="D4">
        <v>31</v>
      </c>
      <c r="E4">
        <v>11</v>
      </c>
      <c r="F4">
        <v>245</v>
      </c>
      <c r="G4">
        <v>237</v>
      </c>
      <c r="H4">
        <f t="shared" si="0"/>
        <v>176</v>
      </c>
      <c r="I4">
        <v>59</v>
      </c>
      <c r="J4">
        <v>10</v>
      </c>
      <c r="K4">
        <f t="shared" si="1"/>
        <v>161</v>
      </c>
      <c r="L4">
        <v>65</v>
      </c>
      <c r="M4">
        <v>11</v>
      </c>
      <c r="N4">
        <v>7</v>
      </c>
      <c r="O4">
        <v>2320.6</v>
      </c>
      <c r="P4" s="1">
        <f t="shared" si="2"/>
        <v>0.89787124019650089</v>
      </c>
    </row>
    <row r="5" spans="1:20" x14ac:dyDescent="0.25">
      <c r="A5" t="s">
        <v>32</v>
      </c>
      <c r="B5">
        <v>82</v>
      </c>
      <c r="C5">
        <v>27</v>
      </c>
      <c r="D5">
        <v>37</v>
      </c>
      <c r="E5">
        <v>10</v>
      </c>
      <c r="F5">
        <v>190</v>
      </c>
      <c r="G5">
        <v>219</v>
      </c>
      <c r="H5">
        <f t="shared" si="0"/>
        <v>131</v>
      </c>
      <c r="I5">
        <v>51</v>
      </c>
      <c r="J5">
        <v>8</v>
      </c>
      <c r="K5">
        <f t="shared" si="1"/>
        <v>155</v>
      </c>
      <c r="L5">
        <v>53</v>
      </c>
      <c r="M5">
        <v>11</v>
      </c>
      <c r="N5">
        <v>4</v>
      </c>
      <c r="O5">
        <v>2296</v>
      </c>
      <c r="P5" s="1">
        <f t="shared" si="2"/>
        <v>0.90461672473867594</v>
      </c>
    </row>
    <row r="6" spans="1:20" x14ac:dyDescent="0.25">
      <c r="A6" t="s">
        <v>28</v>
      </c>
      <c r="B6">
        <v>82</v>
      </c>
      <c r="C6">
        <v>29</v>
      </c>
      <c r="D6">
        <v>36</v>
      </c>
      <c r="E6">
        <v>13</v>
      </c>
      <c r="F6">
        <v>186</v>
      </c>
      <c r="G6">
        <v>228</v>
      </c>
      <c r="H6">
        <f t="shared" si="0"/>
        <v>134</v>
      </c>
      <c r="I6">
        <v>47</v>
      </c>
      <c r="J6">
        <v>5</v>
      </c>
      <c r="K6">
        <f t="shared" si="1"/>
        <v>153</v>
      </c>
      <c r="L6">
        <v>65</v>
      </c>
      <c r="M6">
        <v>10</v>
      </c>
      <c r="N6">
        <v>5</v>
      </c>
      <c r="O6">
        <v>2222.2000000000003</v>
      </c>
      <c r="P6" s="1">
        <f t="shared" si="2"/>
        <v>0.89739897398973989</v>
      </c>
    </row>
    <row r="7" spans="1:20" x14ac:dyDescent="0.25">
      <c r="A7" t="s">
        <v>36</v>
      </c>
      <c r="B7">
        <v>82</v>
      </c>
      <c r="C7">
        <v>22</v>
      </c>
      <c r="D7">
        <v>43</v>
      </c>
      <c r="E7">
        <v>11</v>
      </c>
      <c r="F7">
        <v>171</v>
      </c>
      <c r="G7">
        <v>240</v>
      </c>
      <c r="H7">
        <f t="shared" si="0"/>
        <v>107</v>
      </c>
      <c r="I7">
        <v>58</v>
      </c>
      <c r="J7">
        <v>6</v>
      </c>
      <c r="K7">
        <f t="shared" si="1"/>
        <v>160</v>
      </c>
      <c r="L7">
        <v>71</v>
      </c>
      <c r="M7">
        <v>9</v>
      </c>
      <c r="N7">
        <v>4</v>
      </c>
      <c r="O7">
        <v>2328.7999999999997</v>
      </c>
      <c r="P7" s="1">
        <f t="shared" si="2"/>
        <v>0.89694263139814501</v>
      </c>
    </row>
    <row r="8" spans="1:20" x14ac:dyDescent="0.25">
      <c r="A8" t="s">
        <v>23</v>
      </c>
      <c r="B8">
        <v>82</v>
      </c>
      <c r="C8">
        <v>30</v>
      </c>
      <c r="D8">
        <v>33</v>
      </c>
      <c r="E8">
        <v>13</v>
      </c>
      <c r="F8">
        <v>207</v>
      </c>
      <c r="G8">
        <v>226</v>
      </c>
      <c r="H8">
        <f t="shared" si="0"/>
        <v>160</v>
      </c>
      <c r="I8">
        <v>39</v>
      </c>
      <c r="J8">
        <v>8</v>
      </c>
      <c r="K8">
        <f t="shared" si="1"/>
        <v>162</v>
      </c>
      <c r="L8">
        <v>56</v>
      </c>
      <c r="M8">
        <v>8</v>
      </c>
      <c r="N8">
        <v>2</v>
      </c>
      <c r="O8">
        <v>2345.2000000000003</v>
      </c>
      <c r="P8" s="1">
        <f t="shared" si="2"/>
        <v>0.90363295241344022</v>
      </c>
    </row>
    <row r="9" spans="1:20" x14ac:dyDescent="0.25">
      <c r="A9" t="s">
        <v>12</v>
      </c>
      <c r="B9">
        <v>82</v>
      </c>
      <c r="C9">
        <v>42</v>
      </c>
      <c r="D9">
        <v>19</v>
      </c>
      <c r="E9">
        <v>13</v>
      </c>
      <c r="F9">
        <v>251</v>
      </c>
      <c r="G9">
        <v>194</v>
      </c>
      <c r="H9">
        <f t="shared" si="0"/>
        <v>178</v>
      </c>
      <c r="I9">
        <v>68</v>
      </c>
      <c r="J9">
        <v>5</v>
      </c>
      <c r="K9">
        <f t="shared" si="1"/>
        <v>125</v>
      </c>
      <c r="L9">
        <v>63</v>
      </c>
      <c r="M9">
        <v>6</v>
      </c>
      <c r="N9">
        <v>4</v>
      </c>
      <c r="O9">
        <v>2320.6</v>
      </c>
      <c r="P9" s="1">
        <f t="shared" si="2"/>
        <v>0.91640093079376028</v>
      </c>
    </row>
    <row r="10" spans="1:20" x14ac:dyDescent="0.25">
      <c r="A10" t="s">
        <v>34</v>
      </c>
      <c r="B10">
        <v>82</v>
      </c>
      <c r="C10">
        <v>29</v>
      </c>
      <c r="D10">
        <v>42</v>
      </c>
      <c r="E10">
        <v>8</v>
      </c>
      <c r="F10">
        <v>213</v>
      </c>
      <c r="G10">
        <v>263</v>
      </c>
      <c r="H10">
        <f t="shared" si="0"/>
        <v>130</v>
      </c>
      <c r="I10">
        <v>71</v>
      </c>
      <c r="J10">
        <v>12</v>
      </c>
      <c r="K10">
        <f t="shared" si="1"/>
        <v>194</v>
      </c>
      <c r="L10">
        <v>60</v>
      </c>
      <c r="M10">
        <v>9</v>
      </c>
      <c r="N10">
        <v>9</v>
      </c>
      <c r="O10">
        <v>2640.4</v>
      </c>
      <c r="P10" s="1">
        <f t="shared" si="2"/>
        <v>0.90039387971519469</v>
      </c>
    </row>
    <row r="11" spans="1:20" x14ac:dyDescent="0.25">
      <c r="A11" t="s">
        <v>8</v>
      </c>
      <c r="B11">
        <v>82</v>
      </c>
      <c r="C11">
        <v>46</v>
      </c>
      <c r="D11">
        <v>17</v>
      </c>
      <c r="E11">
        <v>15</v>
      </c>
      <c r="F11">
        <v>245</v>
      </c>
      <c r="G11">
        <v>169</v>
      </c>
      <c r="H11">
        <f t="shared" si="0"/>
        <v>174</v>
      </c>
      <c r="I11">
        <v>62</v>
      </c>
      <c r="J11">
        <v>9</v>
      </c>
      <c r="K11">
        <f t="shared" si="1"/>
        <v>113</v>
      </c>
      <c r="L11">
        <v>50</v>
      </c>
      <c r="M11">
        <v>6</v>
      </c>
      <c r="N11">
        <v>13</v>
      </c>
      <c r="O11">
        <v>2074.6</v>
      </c>
      <c r="P11" s="1">
        <f t="shared" si="2"/>
        <v>0.91853851344837556</v>
      </c>
    </row>
    <row r="12" spans="1:20" x14ac:dyDescent="0.25">
      <c r="A12" t="s">
        <v>9</v>
      </c>
      <c r="B12">
        <v>82</v>
      </c>
      <c r="C12">
        <v>48</v>
      </c>
      <c r="D12">
        <v>20</v>
      </c>
      <c r="E12">
        <v>10</v>
      </c>
      <c r="F12">
        <v>269</v>
      </c>
      <c r="G12">
        <v>203</v>
      </c>
      <c r="H12">
        <f t="shared" si="0"/>
        <v>182</v>
      </c>
      <c r="I12">
        <v>76</v>
      </c>
      <c r="J12">
        <v>11</v>
      </c>
      <c r="K12">
        <f t="shared" si="1"/>
        <v>144</v>
      </c>
      <c r="L12">
        <v>55</v>
      </c>
      <c r="M12">
        <v>4</v>
      </c>
      <c r="N12">
        <v>6</v>
      </c>
      <c r="O12">
        <v>2361.6</v>
      </c>
      <c r="P12" s="1">
        <f t="shared" si="2"/>
        <v>0.91404132791327908</v>
      </c>
    </row>
    <row r="13" spans="1:20" x14ac:dyDescent="0.25">
      <c r="A13" t="s">
        <v>20</v>
      </c>
      <c r="B13">
        <v>82</v>
      </c>
      <c r="C13">
        <v>36</v>
      </c>
      <c r="D13">
        <v>26</v>
      </c>
      <c r="E13">
        <v>11</v>
      </c>
      <c r="F13">
        <v>231</v>
      </c>
      <c r="G13">
        <v>230</v>
      </c>
      <c r="H13">
        <f t="shared" si="0"/>
        <v>162</v>
      </c>
      <c r="I13">
        <v>56</v>
      </c>
      <c r="J13">
        <v>13</v>
      </c>
      <c r="K13">
        <f t="shared" si="1"/>
        <v>161</v>
      </c>
      <c r="L13">
        <v>61</v>
      </c>
      <c r="M13">
        <v>8</v>
      </c>
      <c r="N13">
        <v>7</v>
      </c>
      <c r="O13">
        <v>2246.7999999999997</v>
      </c>
      <c r="P13" s="1">
        <f t="shared" si="2"/>
        <v>0.89763218800071209</v>
      </c>
    </row>
    <row r="14" spans="1:20" x14ac:dyDescent="0.25">
      <c r="A14" t="s">
        <v>33</v>
      </c>
      <c r="B14">
        <v>82</v>
      </c>
      <c r="C14">
        <v>24</v>
      </c>
      <c r="D14">
        <v>36</v>
      </c>
      <c r="E14">
        <v>13</v>
      </c>
      <c r="F14">
        <v>176</v>
      </c>
      <c r="G14">
        <v>237</v>
      </c>
      <c r="H14">
        <f t="shared" si="0"/>
        <v>120</v>
      </c>
      <c r="I14">
        <v>49</v>
      </c>
      <c r="J14">
        <v>7</v>
      </c>
      <c r="K14">
        <f t="shared" si="1"/>
        <v>162</v>
      </c>
      <c r="L14">
        <v>66</v>
      </c>
      <c r="M14">
        <v>9</v>
      </c>
      <c r="N14">
        <v>7</v>
      </c>
      <c r="O14">
        <v>2722.4</v>
      </c>
      <c r="P14" s="1">
        <f t="shared" si="2"/>
        <v>0.91294446076990887</v>
      </c>
    </row>
    <row r="15" spans="1:20" x14ac:dyDescent="0.25">
      <c r="A15" t="s">
        <v>24</v>
      </c>
      <c r="B15">
        <v>82</v>
      </c>
      <c r="C15">
        <v>33</v>
      </c>
      <c r="D15">
        <v>37</v>
      </c>
      <c r="E15">
        <v>6</v>
      </c>
      <c r="F15">
        <v>203</v>
      </c>
      <c r="G15">
        <v>221</v>
      </c>
      <c r="H15">
        <f t="shared" si="0"/>
        <v>143</v>
      </c>
      <c r="I15">
        <v>52</v>
      </c>
      <c r="J15">
        <v>8</v>
      </c>
      <c r="K15">
        <f t="shared" si="1"/>
        <v>155</v>
      </c>
      <c r="L15">
        <v>62</v>
      </c>
      <c r="M15">
        <v>4</v>
      </c>
      <c r="N15">
        <v>6</v>
      </c>
      <c r="O15">
        <v>2140.2000000000003</v>
      </c>
      <c r="P15" s="1">
        <f t="shared" si="2"/>
        <v>0.89673862255863934</v>
      </c>
    </row>
    <row r="16" spans="1:20" x14ac:dyDescent="0.25">
      <c r="A16" t="s">
        <v>16</v>
      </c>
      <c r="B16">
        <v>82</v>
      </c>
      <c r="C16">
        <v>42</v>
      </c>
      <c r="D16">
        <v>29</v>
      </c>
      <c r="E16">
        <v>10</v>
      </c>
      <c r="F16">
        <v>198</v>
      </c>
      <c r="G16">
        <v>178</v>
      </c>
      <c r="H16">
        <f t="shared" si="0"/>
        <v>137</v>
      </c>
      <c r="I16">
        <v>52</v>
      </c>
      <c r="J16">
        <v>9</v>
      </c>
      <c r="K16">
        <f t="shared" si="1"/>
        <v>130</v>
      </c>
      <c r="L16">
        <v>43</v>
      </c>
      <c r="M16">
        <v>5</v>
      </c>
      <c r="N16">
        <v>10</v>
      </c>
      <c r="O16">
        <v>2337</v>
      </c>
      <c r="P16" s="1">
        <f t="shared" si="2"/>
        <v>0.92383397518185706</v>
      </c>
    </row>
    <row r="17" spans="1:16" x14ac:dyDescent="0.25">
      <c r="A17" t="s">
        <v>27</v>
      </c>
      <c r="B17">
        <v>82</v>
      </c>
      <c r="C17">
        <v>30</v>
      </c>
      <c r="D17">
        <v>35</v>
      </c>
      <c r="E17">
        <v>8</v>
      </c>
      <c r="F17">
        <v>206</v>
      </c>
      <c r="G17">
        <v>234</v>
      </c>
      <c r="H17">
        <f t="shared" si="0"/>
        <v>160</v>
      </c>
      <c r="I17">
        <v>44</v>
      </c>
      <c r="J17">
        <v>2</v>
      </c>
      <c r="K17">
        <f t="shared" si="1"/>
        <v>170</v>
      </c>
      <c r="L17">
        <v>58</v>
      </c>
      <c r="M17">
        <v>6</v>
      </c>
      <c r="N17">
        <v>7</v>
      </c>
      <c r="O17">
        <v>2681.4</v>
      </c>
      <c r="P17" s="1">
        <f t="shared" si="2"/>
        <v>0.91273215484448422</v>
      </c>
    </row>
    <row r="18" spans="1:16" x14ac:dyDescent="0.25">
      <c r="A18" t="s">
        <v>30</v>
      </c>
      <c r="B18">
        <v>82</v>
      </c>
      <c r="C18">
        <v>27</v>
      </c>
      <c r="D18">
        <v>35</v>
      </c>
      <c r="E18">
        <v>13</v>
      </c>
      <c r="F18">
        <v>183</v>
      </c>
      <c r="G18">
        <v>206</v>
      </c>
      <c r="H18">
        <f t="shared" si="0"/>
        <v>123</v>
      </c>
      <c r="I18">
        <v>58</v>
      </c>
      <c r="J18">
        <v>2</v>
      </c>
      <c r="K18">
        <f t="shared" si="1"/>
        <v>137</v>
      </c>
      <c r="L18">
        <v>61</v>
      </c>
      <c r="M18">
        <v>8</v>
      </c>
      <c r="N18">
        <v>1</v>
      </c>
      <c r="O18">
        <v>2255</v>
      </c>
      <c r="P18" s="1">
        <f t="shared" si="2"/>
        <v>0.90864745011086478</v>
      </c>
    </row>
    <row r="19" spans="1:16" x14ac:dyDescent="0.25">
      <c r="A19" t="s">
        <v>10</v>
      </c>
      <c r="B19">
        <v>82</v>
      </c>
      <c r="C19">
        <v>46</v>
      </c>
      <c r="D19">
        <v>20</v>
      </c>
      <c r="E19">
        <v>10</v>
      </c>
      <c r="F19">
        <v>216</v>
      </c>
      <c r="G19">
        <v>166</v>
      </c>
      <c r="H19">
        <f t="shared" si="0"/>
        <v>173</v>
      </c>
      <c r="I19">
        <v>36</v>
      </c>
      <c r="J19">
        <v>7</v>
      </c>
      <c r="K19">
        <f t="shared" si="1"/>
        <v>130</v>
      </c>
      <c r="L19">
        <v>32</v>
      </c>
      <c r="M19">
        <v>4</v>
      </c>
      <c r="N19">
        <v>6</v>
      </c>
      <c r="O19">
        <v>1935.2</v>
      </c>
      <c r="P19" s="1">
        <f t="shared" si="2"/>
        <v>0.91422075237701528</v>
      </c>
    </row>
    <row r="20" spans="1:16" x14ac:dyDescent="0.25">
      <c r="A20" t="s">
        <v>22</v>
      </c>
      <c r="B20">
        <v>82</v>
      </c>
      <c r="C20">
        <v>35</v>
      </c>
      <c r="D20">
        <v>34</v>
      </c>
      <c r="E20">
        <v>11</v>
      </c>
      <c r="F20">
        <v>224</v>
      </c>
      <c r="G20">
        <v>231</v>
      </c>
      <c r="H20">
        <f t="shared" si="0"/>
        <v>154</v>
      </c>
      <c r="I20">
        <v>58</v>
      </c>
      <c r="J20">
        <v>12</v>
      </c>
      <c r="K20">
        <f t="shared" si="1"/>
        <v>159</v>
      </c>
      <c r="L20">
        <v>67</v>
      </c>
      <c r="M20">
        <v>5</v>
      </c>
      <c r="N20">
        <v>9</v>
      </c>
      <c r="O20">
        <v>2320.6</v>
      </c>
      <c r="P20" s="1">
        <f t="shared" si="2"/>
        <v>0.90045677841937433</v>
      </c>
    </row>
    <row r="21" spans="1:16" x14ac:dyDescent="0.25">
      <c r="A21" t="s">
        <v>25</v>
      </c>
      <c r="B21">
        <v>82</v>
      </c>
      <c r="C21">
        <v>32</v>
      </c>
      <c r="D21">
        <v>36</v>
      </c>
      <c r="E21">
        <v>10</v>
      </c>
      <c r="F21">
        <v>210</v>
      </c>
      <c r="G21">
        <v>231</v>
      </c>
      <c r="H21">
        <f t="shared" si="0"/>
        <v>147</v>
      </c>
      <c r="I21">
        <v>55</v>
      </c>
      <c r="J21">
        <v>8</v>
      </c>
      <c r="K21">
        <f t="shared" si="1"/>
        <v>150</v>
      </c>
      <c r="L21">
        <v>73</v>
      </c>
      <c r="M21">
        <v>8</v>
      </c>
      <c r="N21">
        <v>1</v>
      </c>
      <c r="O21">
        <v>2427.2000000000003</v>
      </c>
      <c r="P21" s="1">
        <f t="shared" si="2"/>
        <v>0.90482860909690177</v>
      </c>
    </row>
    <row r="22" spans="1:16" x14ac:dyDescent="0.25">
      <c r="A22" t="s">
        <v>7</v>
      </c>
      <c r="B22">
        <v>82</v>
      </c>
      <c r="C22">
        <v>52</v>
      </c>
      <c r="D22">
        <v>21</v>
      </c>
      <c r="E22">
        <v>8</v>
      </c>
      <c r="F22">
        <v>263</v>
      </c>
      <c r="G22">
        <v>182</v>
      </c>
      <c r="H22">
        <f t="shared" si="0"/>
        <v>176</v>
      </c>
      <c r="I22">
        <v>83</v>
      </c>
      <c r="J22">
        <v>4</v>
      </c>
      <c r="K22">
        <f t="shared" si="1"/>
        <v>124</v>
      </c>
      <c r="L22">
        <v>50</v>
      </c>
      <c r="M22">
        <v>8</v>
      </c>
      <c r="N22">
        <v>12</v>
      </c>
      <c r="O22">
        <v>2033.6000000000001</v>
      </c>
      <c r="P22" s="1">
        <f t="shared" si="2"/>
        <v>0.91050354051927618</v>
      </c>
    </row>
    <row r="23" spans="1:16" x14ac:dyDescent="0.25">
      <c r="A23" t="s">
        <v>11</v>
      </c>
      <c r="B23">
        <v>82</v>
      </c>
      <c r="C23">
        <v>45</v>
      </c>
      <c r="D23">
        <v>20</v>
      </c>
      <c r="E23">
        <v>13</v>
      </c>
      <c r="F23">
        <v>211</v>
      </c>
      <c r="G23">
        <v>166</v>
      </c>
      <c r="H23">
        <f t="shared" si="0"/>
        <v>156</v>
      </c>
      <c r="I23">
        <v>47</v>
      </c>
      <c r="J23">
        <v>8</v>
      </c>
      <c r="K23">
        <f t="shared" si="1"/>
        <v>108</v>
      </c>
      <c r="L23">
        <v>50</v>
      </c>
      <c r="M23">
        <v>8</v>
      </c>
      <c r="N23">
        <v>3</v>
      </c>
      <c r="O23">
        <v>2017.2</v>
      </c>
      <c r="P23" s="1">
        <f t="shared" si="2"/>
        <v>0.91770771366250248</v>
      </c>
    </row>
    <row r="24" spans="1:16" x14ac:dyDescent="0.25">
      <c r="A24" t="s">
        <v>26</v>
      </c>
      <c r="B24">
        <v>82</v>
      </c>
      <c r="C24">
        <v>31</v>
      </c>
      <c r="D24">
        <v>35</v>
      </c>
      <c r="E24">
        <v>11</v>
      </c>
      <c r="F24">
        <v>204</v>
      </c>
      <c r="G24">
        <v>230</v>
      </c>
      <c r="H24">
        <f t="shared" si="0"/>
        <v>145</v>
      </c>
      <c r="I24">
        <v>55</v>
      </c>
      <c r="J24">
        <v>4</v>
      </c>
      <c r="K24">
        <f t="shared" si="1"/>
        <v>142</v>
      </c>
      <c r="L24">
        <v>77</v>
      </c>
      <c r="M24">
        <v>11</v>
      </c>
      <c r="N24">
        <v>5</v>
      </c>
      <c r="O24">
        <v>2460</v>
      </c>
      <c r="P24" s="1">
        <f t="shared" si="2"/>
        <v>0.9065040650406504</v>
      </c>
    </row>
    <row r="25" spans="1:16" x14ac:dyDescent="0.25">
      <c r="A25" t="s">
        <v>35</v>
      </c>
      <c r="B25">
        <v>82</v>
      </c>
      <c r="C25">
        <v>27</v>
      </c>
      <c r="D25">
        <v>44</v>
      </c>
      <c r="E25">
        <v>6</v>
      </c>
      <c r="F25">
        <v>189</v>
      </c>
      <c r="G25">
        <v>255</v>
      </c>
      <c r="H25">
        <f t="shared" si="0"/>
        <v>120</v>
      </c>
      <c r="I25">
        <v>66</v>
      </c>
      <c r="J25">
        <v>3</v>
      </c>
      <c r="K25">
        <f t="shared" si="1"/>
        <v>187</v>
      </c>
      <c r="L25">
        <v>58</v>
      </c>
      <c r="M25">
        <v>10</v>
      </c>
      <c r="N25">
        <v>5</v>
      </c>
      <c r="O25">
        <v>2533.7999999999997</v>
      </c>
      <c r="P25" s="1">
        <f t="shared" si="2"/>
        <v>0.89936064409187777</v>
      </c>
    </row>
    <row r="26" spans="1:16" x14ac:dyDescent="0.25">
      <c r="A26" t="s">
        <v>31</v>
      </c>
      <c r="B26">
        <v>82</v>
      </c>
      <c r="C26">
        <v>28</v>
      </c>
      <c r="D26">
        <v>37</v>
      </c>
      <c r="E26">
        <v>9</v>
      </c>
      <c r="F26">
        <v>214</v>
      </c>
      <c r="G26">
        <v>239</v>
      </c>
      <c r="H26">
        <f t="shared" si="0"/>
        <v>141</v>
      </c>
      <c r="I26">
        <v>68</v>
      </c>
      <c r="J26">
        <v>5</v>
      </c>
      <c r="K26">
        <f t="shared" si="1"/>
        <v>161</v>
      </c>
      <c r="L26">
        <v>68</v>
      </c>
      <c r="M26">
        <v>10</v>
      </c>
      <c r="N26">
        <v>3</v>
      </c>
      <c r="O26">
        <v>2394.4</v>
      </c>
      <c r="P26" s="1">
        <f t="shared" si="2"/>
        <v>0.90018376211159368</v>
      </c>
    </row>
    <row r="27" spans="1:16" x14ac:dyDescent="0.25">
      <c r="A27" t="s">
        <v>14</v>
      </c>
      <c r="B27">
        <v>82</v>
      </c>
      <c r="C27">
        <v>41</v>
      </c>
      <c r="D27">
        <v>24</v>
      </c>
      <c r="E27">
        <v>11</v>
      </c>
      <c r="F27">
        <v>253</v>
      </c>
      <c r="G27">
        <v>222</v>
      </c>
      <c r="H27">
        <f t="shared" si="0"/>
        <v>162</v>
      </c>
      <c r="I27">
        <v>80</v>
      </c>
      <c r="J27">
        <v>11</v>
      </c>
      <c r="K27">
        <f t="shared" si="1"/>
        <v>144</v>
      </c>
      <c r="L27">
        <v>71</v>
      </c>
      <c r="M27">
        <v>7</v>
      </c>
      <c r="N27">
        <v>12</v>
      </c>
      <c r="O27">
        <v>2050</v>
      </c>
      <c r="P27" s="1">
        <f t="shared" si="2"/>
        <v>0.89170731707317075</v>
      </c>
    </row>
    <row r="28" spans="1:16" x14ac:dyDescent="0.25">
      <c r="A28" t="s">
        <v>18</v>
      </c>
      <c r="B28">
        <v>82</v>
      </c>
      <c r="C28">
        <v>36</v>
      </c>
      <c r="D28">
        <v>25</v>
      </c>
      <c r="E28">
        <v>16</v>
      </c>
      <c r="F28">
        <v>219</v>
      </c>
      <c r="G28">
        <v>210</v>
      </c>
      <c r="H28">
        <f t="shared" si="0"/>
        <v>143</v>
      </c>
      <c r="I28">
        <v>70</v>
      </c>
      <c r="J28">
        <v>6</v>
      </c>
      <c r="K28">
        <f t="shared" si="1"/>
        <v>150</v>
      </c>
      <c r="L28">
        <v>55</v>
      </c>
      <c r="M28">
        <v>5</v>
      </c>
      <c r="N28">
        <v>6</v>
      </c>
      <c r="O28">
        <v>2296</v>
      </c>
      <c r="P28" s="1">
        <f t="shared" si="2"/>
        <v>0.90853658536585369</v>
      </c>
    </row>
    <row r="29" spans="1:16" x14ac:dyDescent="0.25">
      <c r="A29" t="s">
        <v>15</v>
      </c>
      <c r="B29">
        <v>82</v>
      </c>
      <c r="C29">
        <v>44</v>
      </c>
      <c r="D29">
        <v>28</v>
      </c>
      <c r="E29">
        <v>7</v>
      </c>
      <c r="F29">
        <v>236</v>
      </c>
      <c r="G29">
        <v>208</v>
      </c>
      <c r="H29">
        <f t="shared" si="0"/>
        <v>162</v>
      </c>
      <c r="I29">
        <v>63</v>
      </c>
      <c r="J29">
        <v>11</v>
      </c>
      <c r="K29">
        <f t="shared" si="1"/>
        <v>145</v>
      </c>
      <c r="L29">
        <v>56</v>
      </c>
      <c r="M29">
        <v>7</v>
      </c>
      <c r="N29">
        <v>7</v>
      </c>
      <c r="O29">
        <v>2419</v>
      </c>
      <c r="P29" s="1">
        <f t="shared" si="2"/>
        <v>0.91401405539479119</v>
      </c>
    </row>
    <row r="30" spans="1:16" x14ac:dyDescent="0.25">
      <c r="A30" t="s">
        <v>13</v>
      </c>
      <c r="B30">
        <v>82</v>
      </c>
      <c r="C30">
        <v>45</v>
      </c>
      <c r="D30">
        <v>23</v>
      </c>
      <c r="E30">
        <v>13</v>
      </c>
      <c r="F30">
        <v>264</v>
      </c>
      <c r="G30">
        <v>208</v>
      </c>
      <c r="H30">
        <f t="shared" si="0"/>
        <v>165</v>
      </c>
      <c r="I30">
        <v>87</v>
      </c>
      <c r="J30">
        <v>12</v>
      </c>
      <c r="K30">
        <f t="shared" si="1"/>
        <v>136</v>
      </c>
      <c r="L30">
        <v>62</v>
      </c>
      <c r="M30">
        <v>10</v>
      </c>
      <c r="N30">
        <v>8</v>
      </c>
      <c r="O30">
        <v>2181.2000000000003</v>
      </c>
      <c r="P30" s="1">
        <f t="shared" si="2"/>
        <v>0.90463964790023843</v>
      </c>
    </row>
    <row r="31" spans="1:16" x14ac:dyDescent="0.25">
      <c r="A31" t="s">
        <v>19</v>
      </c>
      <c r="B31">
        <v>82</v>
      </c>
      <c r="C31">
        <v>39</v>
      </c>
      <c r="D31">
        <v>29</v>
      </c>
      <c r="E31">
        <v>8</v>
      </c>
      <c r="F31">
        <v>224</v>
      </c>
      <c r="G31">
        <v>220</v>
      </c>
      <c r="H31">
        <f t="shared" si="0"/>
        <v>159</v>
      </c>
      <c r="I31">
        <v>57</v>
      </c>
      <c r="J31">
        <v>8</v>
      </c>
      <c r="K31">
        <f t="shared" si="1"/>
        <v>144</v>
      </c>
      <c r="L31">
        <v>72</v>
      </c>
      <c r="M31">
        <v>4</v>
      </c>
      <c r="N31">
        <v>6</v>
      </c>
      <c r="O31">
        <v>2451.7999999999997</v>
      </c>
      <c r="P31" s="1">
        <f t="shared" si="2"/>
        <v>0.91027000571009054</v>
      </c>
    </row>
  </sheetData>
  <autoFilter ref="A1:P1" xr:uid="{00000000-0001-0000-0000-000000000000}"/>
  <pageMargins left="0.511811024" right="0.511811024" top="0.78740157499999996" bottom="0.78740157499999996" header="0.31496062000000002" footer="0.31496062000000002"/>
  <ignoredErrors>
    <ignoredError sqref="A1 F1:G1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Carvalho</dc:creator>
  <cp:lastModifiedBy>Nexdu Financeiro</cp:lastModifiedBy>
  <dcterms:created xsi:type="dcterms:W3CDTF">2024-08-21T16:55:18Z</dcterms:created>
  <dcterms:modified xsi:type="dcterms:W3CDTF">2024-08-21T20:13:08Z</dcterms:modified>
</cp:coreProperties>
</file>